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76dd9c960dca71/Desktop/"/>
    </mc:Choice>
  </mc:AlternateContent>
  <xr:revisionPtr revIDLastSave="0" documentId="8_{D480F4A8-2A89-4EB7-B928-CF71A6F46D0F}" xr6:coauthVersionLast="47" xr6:coauthVersionMax="47" xr10:uidLastSave="{00000000-0000-0000-0000-000000000000}"/>
  <bookViews>
    <workbookView xWindow="-108" yWindow="-108" windowWidth="23256" windowHeight="12456" xr2:uid="{2286AF26-1047-440F-861F-E7FB1E014755}"/>
  </bookViews>
  <sheets>
    <sheet name="Studen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I3" i="1"/>
  <c r="I4" i="1"/>
  <c r="I5" i="1"/>
  <c r="I6" i="1"/>
  <c r="I7" i="1"/>
  <c r="I8" i="1"/>
  <c r="I9" i="1"/>
  <c r="I10" i="1"/>
  <c r="I11" i="1"/>
  <c r="I2" i="1"/>
  <c r="G15" i="1"/>
  <c r="G16" i="1"/>
  <c r="G14" i="1"/>
  <c r="G13" i="1"/>
  <c r="G2" i="1"/>
  <c r="G3" i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<sst xmlns="http://schemas.openxmlformats.org/spreadsheetml/2006/main" count="45" uniqueCount="36">
  <si>
    <t>Student ID</t>
  </si>
  <si>
    <t>Name</t>
  </si>
  <si>
    <t>Department</t>
  </si>
  <si>
    <t>Assignment 1</t>
  </si>
  <si>
    <t>Assignment 2</t>
  </si>
  <si>
    <t>Assignment 3</t>
  </si>
  <si>
    <t>Total Marks</t>
  </si>
  <si>
    <t>Pass/Fail</t>
  </si>
  <si>
    <t>IT1001</t>
  </si>
  <si>
    <t>IT1002</t>
  </si>
  <si>
    <t>IT1003</t>
  </si>
  <si>
    <t>IT1004</t>
  </si>
  <si>
    <t>IT1005</t>
  </si>
  <si>
    <t>IT1006</t>
  </si>
  <si>
    <t>IT1007</t>
  </si>
  <si>
    <t>IT1008</t>
  </si>
  <si>
    <t>IT1009</t>
  </si>
  <si>
    <t>IT110</t>
  </si>
  <si>
    <t>Ayesha Khan</t>
  </si>
  <si>
    <t>Abdullah Imran</t>
  </si>
  <si>
    <t>Ehsaan Karim</t>
  </si>
  <si>
    <t>Shayan Adeel</t>
  </si>
  <si>
    <t>Nauman Ejaz</t>
  </si>
  <si>
    <t>Fahad Mustafa</t>
  </si>
  <si>
    <t>Shoaib Akthar</t>
  </si>
  <si>
    <t>Yousaf Imran</t>
  </si>
  <si>
    <t>Ali Raza</t>
  </si>
  <si>
    <t>ICT</t>
  </si>
  <si>
    <t>Usman Tariq</t>
  </si>
  <si>
    <t xml:space="preserve">Total of all marks </t>
  </si>
  <si>
    <t>Class Average</t>
  </si>
  <si>
    <t>Lowest Score</t>
  </si>
  <si>
    <t>Highest Score</t>
  </si>
  <si>
    <t xml:space="preserve">Final Marks </t>
  </si>
  <si>
    <t>Bonus marks</t>
  </si>
  <si>
    <t xml:space="preserve">Percentage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</si>
</sst>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ACBD-CCED-4990-B94A-548A7600AEF0}">
  <dimension ref="A1:J18"/>
  <sheetViews>
    <sheetView tabSelected="1" workbookViewId="0">
      <selection activeCell="J14" sqref="J14"/>
    </sheetView>
  </sheetViews>
  <sheetFormatPr defaultRowHeight="14.4" x14ac:dyDescent="0.3"/>
  <cols>
    <col min="1" max="1" width="19.6640625" customWidth="1"/>
    <col min="2" max="2" width="18.33203125" customWidth="1"/>
    <col min="3" max="3" width="11.88671875" customWidth="1"/>
    <col min="4" max="4" width="13.44140625" customWidth="1"/>
    <col min="5" max="5" width="13.109375" customWidth="1"/>
    <col min="6" max="6" width="18.6640625" customWidth="1"/>
    <col min="7" max="7" width="11.109375" customWidth="1"/>
    <col min="8" max="8" width="10.33203125" customWidth="1"/>
    <col min="9" max="9" width="12.6640625" customWidth="1"/>
    <col min="10" max="10" width="12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35</v>
      </c>
    </row>
    <row r="2" spans="1:10" x14ac:dyDescent="0.3">
      <c r="A2" t="s">
        <v>8</v>
      </c>
      <c r="B2" t="s">
        <v>18</v>
      </c>
      <c r="C2" t="s">
        <v>27</v>
      </c>
      <c r="D2">
        <v>75</v>
      </c>
      <c r="E2">
        <v>85</v>
      </c>
      <c r="F2">
        <v>74</v>
      </c>
      <c r="G2">
        <f>SUM(D2:F2:E2)</f>
        <v>234</v>
      </c>
      <c r="H2" t="str">
        <f>IF(G2&gt;150, "Pass", "Fail")</f>
        <v>Pass</v>
      </c>
      <c r="I2">
        <f>G2+$G$18</f>
        <v>239</v>
      </c>
      <c r="J2" s="3">
        <f>(I2/300)</f>
        <v>0.79666666666666663</v>
      </c>
    </row>
    <row r="3" spans="1:10" x14ac:dyDescent="0.3">
      <c r="A3" t="s">
        <v>9</v>
      </c>
      <c r="B3" t="s">
        <v>28</v>
      </c>
      <c r="C3" t="s">
        <v>27</v>
      </c>
      <c r="D3">
        <v>82</v>
      </c>
      <c r="E3">
        <v>56</v>
      </c>
      <c r="F3">
        <v>59</v>
      </c>
      <c r="G3">
        <f>SUM(D3:F3:E3)</f>
        <v>197</v>
      </c>
      <c r="H3" t="str">
        <f t="shared" ref="H3:H11" si="0">IF(G3&gt;150, "Pass", "Fail")</f>
        <v>Pass</v>
      </c>
      <c r="I3">
        <f t="shared" ref="I3:I11" si="1">G3+$G$18</f>
        <v>202</v>
      </c>
      <c r="J3" s="3">
        <f t="shared" ref="J3:J11" si="2">(I3/300)</f>
        <v>0.67333333333333334</v>
      </c>
    </row>
    <row r="4" spans="1:10" x14ac:dyDescent="0.3">
      <c r="A4" t="s">
        <v>10</v>
      </c>
      <c r="B4" t="s">
        <v>19</v>
      </c>
      <c r="C4" t="s">
        <v>27</v>
      </c>
      <c r="D4">
        <v>74</v>
      </c>
      <c r="E4">
        <v>74</v>
      </c>
      <c r="F4">
        <v>55</v>
      </c>
      <c r="G4">
        <f>SUM(D4:F4:E4)</f>
        <v>203</v>
      </c>
      <c r="H4" t="str">
        <f t="shared" si="0"/>
        <v>Pass</v>
      </c>
      <c r="I4">
        <f t="shared" si="1"/>
        <v>208</v>
      </c>
      <c r="J4" s="3">
        <f t="shared" si="2"/>
        <v>0.69333333333333336</v>
      </c>
    </row>
    <row r="5" spans="1:10" x14ac:dyDescent="0.3">
      <c r="A5" t="s">
        <v>11</v>
      </c>
      <c r="B5" t="s">
        <v>20</v>
      </c>
      <c r="C5" t="s">
        <v>27</v>
      </c>
      <c r="D5">
        <v>60</v>
      </c>
      <c r="E5">
        <v>84</v>
      </c>
      <c r="F5">
        <v>74</v>
      </c>
      <c r="G5">
        <f>SUM(D5:F5:E5)</f>
        <v>218</v>
      </c>
      <c r="H5" t="str">
        <f t="shared" si="0"/>
        <v>Pass</v>
      </c>
      <c r="I5">
        <f t="shared" si="1"/>
        <v>223</v>
      </c>
      <c r="J5" s="3">
        <f t="shared" si="2"/>
        <v>0.74333333333333329</v>
      </c>
    </row>
    <row r="6" spans="1:10" x14ac:dyDescent="0.3">
      <c r="A6" t="s">
        <v>12</v>
      </c>
      <c r="B6" t="s">
        <v>21</v>
      </c>
      <c r="C6" t="s">
        <v>27</v>
      </c>
      <c r="D6">
        <v>68</v>
      </c>
      <c r="E6">
        <v>85</v>
      </c>
      <c r="F6">
        <v>65</v>
      </c>
      <c r="G6">
        <f>SUM(D6:F6:E6)</f>
        <v>218</v>
      </c>
      <c r="H6" t="str">
        <f t="shared" si="0"/>
        <v>Pass</v>
      </c>
      <c r="I6">
        <f t="shared" si="1"/>
        <v>223</v>
      </c>
      <c r="J6" s="3">
        <f t="shared" si="2"/>
        <v>0.74333333333333329</v>
      </c>
    </row>
    <row r="7" spans="1:10" x14ac:dyDescent="0.3">
      <c r="A7" t="s">
        <v>13</v>
      </c>
      <c r="B7" t="s">
        <v>22</v>
      </c>
      <c r="C7" t="s">
        <v>27</v>
      </c>
      <c r="D7">
        <v>45</v>
      </c>
      <c r="E7">
        <v>74</v>
      </c>
      <c r="F7">
        <v>73</v>
      </c>
      <c r="G7">
        <f>SUM(D7:F7:E7)</f>
        <v>192</v>
      </c>
      <c r="H7" t="str">
        <f t="shared" si="0"/>
        <v>Pass</v>
      </c>
      <c r="I7">
        <f t="shared" si="1"/>
        <v>197</v>
      </c>
      <c r="J7" s="3">
        <f t="shared" si="2"/>
        <v>0.65666666666666662</v>
      </c>
    </row>
    <row r="8" spans="1:10" x14ac:dyDescent="0.3">
      <c r="A8" t="s">
        <v>14</v>
      </c>
      <c r="B8" t="s">
        <v>23</v>
      </c>
      <c r="C8" t="s">
        <v>27</v>
      </c>
      <c r="D8">
        <v>95</v>
      </c>
      <c r="E8">
        <v>96</v>
      </c>
      <c r="F8">
        <v>85</v>
      </c>
      <c r="G8">
        <f>SUM(D8:F8:E8)</f>
        <v>276</v>
      </c>
      <c r="H8" t="str">
        <f t="shared" si="0"/>
        <v>Pass</v>
      </c>
      <c r="I8">
        <f t="shared" si="1"/>
        <v>281</v>
      </c>
      <c r="J8" s="3">
        <f t="shared" si="2"/>
        <v>0.93666666666666665</v>
      </c>
    </row>
    <row r="9" spans="1:10" x14ac:dyDescent="0.3">
      <c r="A9" t="s">
        <v>15</v>
      </c>
      <c r="B9" t="s">
        <v>24</v>
      </c>
      <c r="C9" t="s">
        <v>27</v>
      </c>
      <c r="D9">
        <v>89</v>
      </c>
      <c r="E9">
        <v>75</v>
      </c>
      <c r="F9">
        <v>95</v>
      </c>
      <c r="G9">
        <f>SUM(D9:F9:E9)</f>
        <v>259</v>
      </c>
      <c r="H9" t="str">
        <f t="shared" si="0"/>
        <v>Pass</v>
      </c>
      <c r="I9">
        <f t="shared" si="1"/>
        <v>264</v>
      </c>
      <c r="J9" s="3">
        <f t="shared" si="2"/>
        <v>0.88</v>
      </c>
    </row>
    <row r="10" spans="1:10" x14ac:dyDescent="0.3">
      <c r="A10" t="s">
        <v>16</v>
      </c>
      <c r="B10" t="s">
        <v>25</v>
      </c>
      <c r="C10" t="s">
        <v>27</v>
      </c>
      <c r="D10">
        <v>74</v>
      </c>
      <c r="E10">
        <v>59</v>
      </c>
      <c r="F10">
        <v>74</v>
      </c>
      <c r="G10">
        <f>SUM(D10:F10:E10)</f>
        <v>207</v>
      </c>
      <c r="H10" t="str">
        <f t="shared" si="0"/>
        <v>Pass</v>
      </c>
      <c r="I10">
        <f t="shared" si="1"/>
        <v>212</v>
      </c>
      <c r="J10" s="3">
        <f t="shared" si="2"/>
        <v>0.70666666666666667</v>
      </c>
    </row>
    <row r="11" spans="1:10" x14ac:dyDescent="0.3">
      <c r="A11" t="s">
        <v>17</v>
      </c>
      <c r="B11" t="s">
        <v>26</v>
      </c>
      <c r="C11" t="s">
        <v>27</v>
      </c>
      <c r="D11">
        <v>67</v>
      </c>
      <c r="E11">
        <v>74</v>
      </c>
      <c r="F11">
        <v>100</v>
      </c>
      <c r="G11">
        <f>SUM(D11:F11:E11)</f>
        <v>241</v>
      </c>
      <c r="H11" t="str">
        <f t="shared" si="0"/>
        <v>Pass</v>
      </c>
      <c r="I11">
        <f t="shared" si="1"/>
        <v>246</v>
      </c>
      <c r="J11" s="3">
        <f t="shared" si="2"/>
        <v>0.82</v>
      </c>
    </row>
    <row r="13" spans="1:10" x14ac:dyDescent="0.3">
      <c r="F13" s="2" t="s">
        <v>29</v>
      </c>
      <c r="G13" s="2">
        <f>SUM(G2:G11)</f>
        <v>2245</v>
      </c>
    </row>
    <row r="14" spans="1:10" x14ac:dyDescent="0.3">
      <c r="F14" s="2" t="s">
        <v>30</v>
      </c>
      <c r="G14" s="2">
        <f>AVERAGE(G2:G11)</f>
        <v>224.5</v>
      </c>
    </row>
    <row r="15" spans="1:10" x14ac:dyDescent="0.3">
      <c r="F15" s="2" t="s">
        <v>31</v>
      </c>
      <c r="G15" s="2">
        <f>MIN(G2:G11)</f>
        <v>192</v>
      </c>
    </row>
    <row r="16" spans="1:10" x14ac:dyDescent="0.3">
      <c r="F16" s="2" t="s">
        <v>32</v>
      </c>
      <c r="G16" s="2">
        <f>MAX(G2:G11)</f>
        <v>276</v>
      </c>
    </row>
    <row r="18" spans="6:7" x14ac:dyDescent="0.3">
      <c r="F18" s="2" t="s">
        <v>34</v>
      </c>
      <c r="G18" s="2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Muhammad Ibrahim Siddiqui</cp:lastModifiedBy>
  <dcterms:created xsi:type="dcterms:W3CDTF">2026-09-21T09:29:11Z</dcterms:created>
  <dcterms:modified xsi:type="dcterms:W3CDTF">2026-09-26T19:01:54Z</dcterms:modified>
</cp:coreProperties>
</file>